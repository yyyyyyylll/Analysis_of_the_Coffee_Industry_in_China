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3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<sst xmlns="http://schemas.openxmlformats.org/spreadsheetml/2006/main" count="46" uniqueCount="35">
  <si>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年</t>
  </si>
  <si>
    <t>结论</t>
  </si>
  <si>
    <t>门店数</t>
  </si>
  <si>
    <t>中国门店总数</t>
  </si>
  <si>
    <t>在中国的门店数持续扩张</t>
  </si>
  <si>
    <t>中国新增门店数</t>
  </si>
  <si>
    <t>中国关闭门店数</t>
  </si>
  <si>
    <t>净收入</t>
  </si>
  <si>
    <t>中国净收入（单位：百万美元）</t>
  </si>
  <si>
    <t>中国净收入在 2021 年达到历史高点后，在随后的两年（2022 年和 2024 年）经历了两次小幅的下滑（2023年略有回弹），近期的增长趋势趋于平缓。
反映出中国市场曾是星巴克国际业务的超强增长引擎，但其波动性高，且自 2021 年市场份额见顶回落后，其持续增长的势头正面临严峻挑战。</t>
  </si>
  <si>
    <t>国际净收入（单位：百万美元）</t>
  </si>
  <si>
    <t>中国净收入占国际比重（单位：百万美元）</t>
  </si>
  <si>
    <t>美国净收入（单位：百万美元）</t>
  </si>
  <si>
    <t>运营费用【国际】</t>
  </si>
  <si>
    <t>产品和分销成本</t>
  </si>
  <si>
    <t>占比</t>
  </si>
  <si>
    <t>产品成本占比不断提高</t>
  </si>
  <si>
    <t>门店运营费用</t>
  </si>
  <si>
    <t>门店运营成本占比不断提高</t>
  </si>
  <si>
    <t>其他运营费用</t>
  </si>
  <si>
    <t>其他运营费用占比略微提高</t>
  </si>
  <si>
    <t>折旧和摊销费用</t>
  </si>
  <si>
    <t>折旧摊销费用有所下降</t>
  </si>
  <si>
    <t>总运营费用</t>
  </si>
  <si>
    <t>总体而言，运营费用占比一直保持较高水平，说明未能有效降本增效</t>
  </si>
  <si>
    <t>营业收入</t>
  </si>
  <si>
    <t>营业收入占比自2023以来持续下降</t>
  </si>
  <si>
    <t>PS：运营费用中，占比【中国】或许可以直接挪用占比【国际】</t>
  </si>
  <si>
    <t>运营费用【中国】【估算】</t>
  </si>
  <si>
    <t>一般及行政费用</t>
  </si>
  <si>
    <t>门店运营费用占总收入的百分比</t>
  </si>
  <si>
    <t>利润</t>
  </si>
  <si>
    <t>利润【全球】</t>
  </si>
  <si>
    <t>利润在 2021 年达到峰值后开始波动下行，其中 2020年和2025年都出现了异常剧烈的同比下跌。
反映出星巴克的利润水平具有高度的波动性和不稳定性，尤其预测2025年将面临严峻的挑战，亟需关注和应对。</t>
  </si>
  <si>
    <t>利润【中国】【估算】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</si>
</sst>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_ * #,##0.00_ ;_ * \-#,##0.00_ ;_ * &quot;-&quot;??.0_ ;_ @_ "/>
    <numFmt numFmtId="178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4" fontId="0" fillId="0" borderId="0" xfId="0" applyNumberFormat="1">
      <alignment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tabSelected="1" zoomScale="85" zoomScaleNormal="85" topLeftCell="A2" workbookViewId="0">
      <selection activeCell="M20" sqref="M20"/>
    </sheetView>
  </sheetViews>
  <sheetFormatPr defaultColWidth="9" defaultRowHeight="14"/>
  <cols>
    <col min="1" max="1" width="62.5636363636364" customWidth="1"/>
    <col min="2" max="2" width="12.9090909090909"/>
    <col min="3" max="5" width="11.8181818181818"/>
    <col min="6" max="8" width="10.6363636363636"/>
    <col min="13" max="13" width="61.6" customWidth="1"/>
  </cols>
  <sheetData>
    <row r="1" spans="1:13">
      <c r="A1" t="s">
        <v>0</v>
      </c>
      <c r="B1">
        <v>2025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M1" t="s">
        <v>1</v>
      </c>
    </row>
    <row r="2" spans="1:1">
      <c r="A2" s="1" t="s">
        <v>2</v>
      </c>
    </row>
    <row r="3" spans="1:13">
      <c r="A3" t="s">
        <v>3</v>
      </c>
      <c r="B3">
        <v>8009</v>
      </c>
      <c r="C3">
        <v>7594</v>
      </c>
      <c r="D3">
        <v>6804</v>
      </c>
      <c r="E3">
        <v>6019</v>
      </c>
      <c r="F3">
        <v>5358</v>
      </c>
      <c r="G3">
        <v>4704</v>
      </c>
      <c r="H3">
        <v>4123</v>
      </c>
      <c r="I3">
        <v>3521</v>
      </c>
      <c r="J3">
        <v>1540</v>
      </c>
      <c r="K3">
        <v>1272</v>
      </c>
      <c r="M3" t="s">
        <v>4</v>
      </c>
    </row>
    <row r="4" spans="1:10">
      <c r="A4" t="s">
        <v>5</v>
      </c>
      <c r="B4">
        <v>569</v>
      </c>
      <c r="C4">
        <v>855</v>
      </c>
      <c r="D4">
        <v>857</v>
      </c>
      <c r="E4">
        <v>724</v>
      </c>
      <c r="F4">
        <v>697</v>
      </c>
      <c r="G4">
        <v>613</v>
      </c>
      <c r="H4">
        <v>629</v>
      </c>
      <c r="I4">
        <v>528</v>
      </c>
      <c r="J4">
        <v>285</v>
      </c>
    </row>
    <row r="5" spans="1:10">
      <c r="A5" t="s">
        <v>6</v>
      </c>
      <c r="B5">
        <v>154</v>
      </c>
      <c r="C5">
        <v>65</v>
      </c>
      <c r="D5">
        <v>72</v>
      </c>
      <c r="E5">
        <v>63</v>
      </c>
      <c r="F5">
        <v>43</v>
      </c>
      <c r="G5">
        <v>32</v>
      </c>
      <c r="H5">
        <v>27</v>
      </c>
      <c r="I5">
        <v>24</v>
      </c>
      <c r="J5">
        <v>17</v>
      </c>
    </row>
    <row r="7" spans="1:1">
      <c r="A7" s="1" t="s">
        <v>7</v>
      </c>
    </row>
    <row r="8" ht="30" customHeight="1" spans="1:13">
      <c r="A8" t="s">
        <v>8</v>
      </c>
      <c r="B8">
        <v>3160.8</v>
      </c>
      <c r="C8" s="2">
        <v>3008.2</v>
      </c>
      <c r="D8" s="2">
        <v>3081.5</v>
      </c>
      <c r="E8" s="2">
        <v>3008.3</v>
      </c>
      <c r="F8" s="2">
        <v>3674.8</v>
      </c>
      <c r="G8" s="2">
        <v>2582.8</v>
      </c>
      <c r="H8" s="2">
        <v>2872</v>
      </c>
      <c r="I8" s="2"/>
      <c r="J8" s="2"/>
      <c r="K8" s="2"/>
      <c r="M8" s="7" t="s">
        <v>9</v>
      </c>
    </row>
    <row r="9" ht="30" customHeight="1" spans="1:13">
      <c r="A9" t="s">
        <v>10</v>
      </c>
      <c r="B9" s="3">
        <v>7819.9</v>
      </c>
      <c r="C9" s="2">
        <v>7338.9</v>
      </c>
      <c r="D9" s="2">
        <v>7487.6</v>
      </c>
      <c r="E9" s="2">
        <v>6940.1</v>
      </c>
      <c r="F9" s="2">
        <v>6921.6</v>
      </c>
      <c r="G9" s="2">
        <v>5230.6</v>
      </c>
      <c r="H9" s="2">
        <v>6319.3</v>
      </c>
      <c r="I9" s="2"/>
      <c r="J9" s="2"/>
      <c r="K9" s="2"/>
      <c r="M9" s="8"/>
    </row>
    <row r="10" ht="30" customHeight="1" spans="1:13">
      <c r="A10" t="s">
        <v>11</v>
      </c>
      <c r="B10" s="4">
        <f>B8/B9</f>
        <v>0.404199542193634</v>
      </c>
      <c r="C10" s="4">
        <f t="shared" ref="C10:H10" si="0">C8/C9</f>
        <v>0.40989794110834</v>
      </c>
      <c r="D10" s="4">
        <f t="shared" si="0"/>
        <v>0.411547091190769</v>
      </c>
      <c r="E10" s="4">
        <f t="shared" si="0"/>
        <v>0.433466376565179</v>
      </c>
      <c r="F10" s="4">
        <f t="shared" si="0"/>
        <v>0.530917706888581</v>
      </c>
      <c r="G10" s="4">
        <f t="shared" si="0"/>
        <v>0.493786563682943</v>
      </c>
      <c r="H10" s="4">
        <f t="shared" si="0"/>
        <v>0.454480717801022</v>
      </c>
      <c r="M10" s="8"/>
    </row>
    <row r="11" ht="30" customHeight="1" spans="1:13">
      <c r="A11" t="s">
        <v>12</v>
      </c>
      <c r="B11">
        <v>27124.7</v>
      </c>
      <c r="C11" s="2">
        <v>26707.4</v>
      </c>
      <c r="D11" s="2">
        <v>26398.3</v>
      </c>
      <c r="E11" s="2">
        <v>23365.6</v>
      </c>
      <c r="F11" s="2">
        <v>20377.8</v>
      </c>
      <c r="G11" s="2">
        <v>16879.8</v>
      </c>
      <c r="H11" s="2">
        <v>18622.7</v>
      </c>
      <c r="I11" s="2"/>
      <c r="J11" s="2"/>
      <c r="K11" s="2"/>
      <c r="M11" s="8"/>
    </row>
    <row r="12" spans="3:11">
      <c r="C12" s="2"/>
      <c r="D12" s="2"/>
      <c r="E12" s="2"/>
      <c r="F12" s="2"/>
      <c r="G12" s="2"/>
      <c r="H12" s="2"/>
      <c r="I12" s="2"/>
      <c r="J12" s="2"/>
      <c r="K12" s="2"/>
    </row>
    <row r="13" spans="1:5">
      <c r="A13" s="1" t="s">
        <v>13</v>
      </c>
      <c r="B13">
        <f>B14+B16+B18+B20</f>
        <v>6441.3</v>
      </c>
      <c r="C13">
        <f>C14+C16+C18+C20</f>
        <v>5958</v>
      </c>
      <c r="D13">
        <f>D14+D16+D18+D20</f>
        <v>5923.6</v>
      </c>
      <c r="E13">
        <f>E14+E16+E18+E20</f>
        <v>5763.9</v>
      </c>
    </row>
    <row r="14" spans="1:5">
      <c r="A14" t="s">
        <v>14</v>
      </c>
      <c r="B14">
        <v>2749.8</v>
      </c>
      <c r="C14" s="3">
        <v>2575.2</v>
      </c>
      <c r="D14" s="3">
        <v>2608.4</v>
      </c>
      <c r="E14">
        <v>2357.7</v>
      </c>
    </row>
    <row r="15" spans="1:13">
      <c r="A15" t="s">
        <v>15</v>
      </c>
      <c r="B15" s="4">
        <v>0.352</v>
      </c>
      <c r="C15" s="4">
        <v>0.351</v>
      </c>
      <c r="D15" s="4">
        <v>0.348</v>
      </c>
      <c r="E15" s="4">
        <v>0.34</v>
      </c>
      <c r="M15" t="s">
        <v>16</v>
      </c>
    </row>
    <row r="16" spans="1:5">
      <c r="A16" t="s">
        <v>17</v>
      </c>
      <c r="B16" s="3">
        <v>3085.6</v>
      </c>
      <c r="C16" s="3">
        <v>2819.4</v>
      </c>
      <c r="D16" s="3">
        <v>2761.1</v>
      </c>
      <c r="E16" s="3">
        <v>2701.8</v>
      </c>
    </row>
    <row r="17" spans="1:13">
      <c r="A17" t="s">
        <v>15</v>
      </c>
      <c r="B17" s="4">
        <v>0.395</v>
      </c>
      <c r="C17" s="4">
        <v>0.384</v>
      </c>
      <c r="D17" s="4">
        <v>0.369</v>
      </c>
      <c r="E17" s="4">
        <v>0.389</v>
      </c>
      <c r="M17" t="s">
        <v>18</v>
      </c>
    </row>
    <row r="18" spans="1:5">
      <c r="A18" t="s">
        <v>19</v>
      </c>
      <c r="B18">
        <v>242</v>
      </c>
      <c r="C18">
        <v>225.1</v>
      </c>
      <c r="D18">
        <v>219</v>
      </c>
      <c r="E18" s="3">
        <v>191.4</v>
      </c>
    </row>
    <row r="19" spans="1:13">
      <c r="A19" t="s">
        <v>15</v>
      </c>
      <c r="B19" s="4">
        <v>0.031</v>
      </c>
      <c r="C19" s="4">
        <v>0.031</v>
      </c>
      <c r="D19" s="4">
        <v>0.029</v>
      </c>
      <c r="E19" s="4">
        <v>0.028</v>
      </c>
      <c r="M19" t="s">
        <v>20</v>
      </c>
    </row>
    <row r="20" spans="1:8">
      <c r="A20" t="s">
        <v>21</v>
      </c>
      <c r="B20">
        <v>363.9</v>
      </c>
      <c r="C20">
        <v>338.3</v>
      </c>
      <c r="D20">
        <v>335.1</v>
      </c>
      <c r="E20">
        <v>513</v>
      </c>
      <c r="F20">
        <v>544.7</v>
      </c>
      <c r="G20">
        <v>518.4</v>
      </c>
      <c r="H20">
        <v>511.5</v>
      </c>
    </row>
    <row r="21" spans="1:13">
      <c r="A21" t="s">
        <v>15</v>
      </c>
      <c r="B21" s="4">
        <v>0.047</v>
      </c>
      <c r="C21" s="4">
        <v>0.046</v>
      </c>
      <c r="D21" s="4">
        <v>0.045</v>
      </c>
      <c r="E21" s="4">
        <v>0.074</v>
      </c>
      <c r="M21" t="s">
        <v>22</v>
      </c>
    </row>
    <row r="22" spans="1:5">
      <c r="A22" t="s">
        <v>23</v>
      </c>
      <c r="B22" s="3">
        <v>6868.1</v>
      </c>
      <c r="C22" s="3">
        <v>6296.8</v>
      </c>
      <c r="D22" s="3">
        <v>6259.4</v>
      </c>
      <c r="E22" s="3">
        <v>6109.2</v>
      </c>
    </row>
    <row r="23" spans="1:13">
      <c r="A23" t="s">
        <v>15</v>
      </c>
      <c r="B23" s="4">
        <v>0.878</v>
      </c>
      <c r="C23">
        <v>85.8</v>
      </c>
      <c r="D23" s="4">
        <v>0.836</v>
      </c>
      <c r="E23" s="4">
        <v>0.88</v>
      </c>
      <c r="M23" t="s">
        <v>24</v>
      </c>
    </row>
    <row r="24" spans="1:8">
      <c r="A24" t="s">
        <v>25</v>
      </c>
      <c r="B24">
        <v>950</v>
      </c>
      <c r="C24" s="3">
        <v>1045.7</v>
      </c>
      <c r="D24" s="3">
        <v>1230.9</v>
      </c>
      <c r="E24">
        <v>833.2</v>
      </c>
      <c r="F24" s="3">
        <v>1245.7</v>
      </c>
      <c r="G24">
        <v>370.6</v>
      </c>
      <c r="H24" s="3">
        <v>1011.3</v>
      </c>
    </row>
    <row r="25" spans="1:13">
      <c r="A25" t="s">
        <v>15</v>
      </c>
      <c r="B25" s="4">
        <v>0.121</v>
      </c>
      <c r="C25" s="4">
        <v>0.142</v>
      </c>
      <c r="D25" s="4">
        <v>0.164</v>
      </c>
      <c r="E25" s="4">
        <v>0.12</v>
      </c>
      <c r="M25" t="s">
        <v>26</v>
      </c>
    </row>
    <row r="26" spans="1:1">
      <c r="A26" s="1" t="s">
        <v>27</v>
      </c>
    </row>
    <row r="28" spans="1:1">
      <c r="A28" s="1" t="s">
        <v>28</v>
      </c>
    </row>
    <row r="29" spans="1:5">
      <c r="A29" t="s">
        <v>14</v>
      </c>
      <c r="B29" s="5">
        <f>B14*B10</f>
        <v>1111.46790112406</v>
      </c>
      <c r="C29" s="5">
        <f>C14*C10</f>
        <v>1055.5691779422</v>
      </c>
      <c r="D29" s="5">
        <f>D14*D10</f>
        <v>1073.479432662</v>
      </c>
      <c r="E29" s="5">
        <f>E14*E10</f>
        <v>1021.98367602772</v>
      </c>
    </row>
    <row r="30" spans="1:5">
      <c r="A30" t="s">
        <v>17</v>
      </c>
      <c r="B30" s="6">
        <f>B16*B10</f>
        <v>1247.19810739268</v>
      </c>
      <c r="C30" s="6">
        <f>C16*C10</f>
        <v>1155.66625516086</v>
      </c>
      <c r="D30" s="6">
        <f>D16*D10</f>
        <v>1136.32267348683</v>
      </c>
      <c r="E30" s="6">
        <f>E16*E10</f>
        <v>1171.1394562038</v>
      </c>
    </row>
    <row r="31" spans="1:5">
      <c r="A31" t="s">
        <v>19</v>
      </c>
      <c r="B31" s="6">
        <f>B18*B10</f>
        <v>97.8162892108595</v>
      </c>
      <c r="C31" s="6">
        <f>C18*C10</f>
        <v>92.2680265434874</v>
      </c>
      <c r="D31" s="6">
        <f>D18*D10</f>
        <v>90.1288129707783</v>
      </c>
      <c r="E31" s="6">
        <f>E18*E10</f>
        <v>82.9654644745753</v>
      </c>
    </row>
    <row r="32" spans="1:5">
      <c r="A32" t="s">
        <v>21</v>
      </c>
      <c r="B32" s="6">
        <f>B20*B10</f>
        <v>147.088213404263</v>
      </c>
      <c r="C32" s="6">
        <f>C20*C10</f>
        <v>138.668473476952</v>
      </c>
      <c r="D32" s="6">
        <f>D20*D10</f>
        <v>137.909430258027</v>
      </c>
      <c r="E32" s="6">
        <f>E20*E10</f>
        <v>222.368251177937</v>
      </c>
    </row>
    <row r="33" spans="1:5">
      <c r="A33" t="s">
        <v>29</v>
      </c>
      <c r="B33" s="6" t="e">
        <f>#REF!*B10</f>
        <v>#REF!</v>
      </c>
      <c r="C33" s="6" t="e">
        <f>#REF!*C10</f>
        <v>#REF!</v>
      </c>
      <c r="D33" s="6" t="e">
        <f>#REF!*D10</f>
        <v>#REF!</v>
      </c>
      <c r="E33" s="6" t="e">
        <f>#REF!*E10</f>
        <v>#REF!</v>
      </c>
    </row>
    <row r="34" spans="1:5">
      <c r="A34" t="s">
        <v>23</v>
      </c>
      <c r="B34" s="6">
        <f>B22*B10</f>
        <v>2776.0828757401</v>
      </c>
      <c r="C34" s="6">
        <f>C22*C10</f>
        <v>2581.045355571</v>
      </c>
      <c r="D34" s="6">
        <f>D22*D10</f>
        <v>2576.0378625995</v>
      </c>
      <c r="E34" s="6">
        <f>E22*E10</f>
        <v>2648.13278771199</v>
      </c>
    </row>
    <row r="35" spans="1:5">
      <c r="A35" t="s">
        <v>25</v>
      </c>
      <c r="B35" s="6">
        <f>B24*B10</f>
        <v>383.989565083953</v>
      </c>
      <c r="C35" s="6">
        <f>C24*C10</f>
        <v>428.630277016992</v>
      </c>
      <c r="D35" s="6">
        <f>D24*D10</f>
        <v>506.573314546717</v>
      </c>
      <c r="E35" s="6">
        <f>E24*E10</f>
        <v>361.164184954107</v>
      </c>
    </row>
    <row r="36" spans="1:5">
      <c r="A36" t="s">
        <v>30</v>
      </c>
      <c r="B36" s="4">
        <v>0.518</v>
      </c>
      <c r="C36" s="4">
        <v>0.512</v>
      </c>
      <c r="D36" s="4">
        <v>0.497</v>
      </c>
      <c r="E36" s="4">
        <v>0.504</v>
      </c>
    </row>
    <row r="38" spans="1:8">
      <c r="A38" s="1" t="s">
        <v>31</v>
      </c>
      <c r="B38">
        <v>2025</v>
      </c>
      <c r="C38">
        <v>2024</v>
      </c>
      <c r="D38">
        <v>2023</v>
      </c>
      <c r="E38">
        <v>2022</v>
      </c>
      <c r="F38">
        <v>2021</v>
      </c>
      <c r="G38">
        <v>2020</v>
      </c>
      <c r="H38">
        <v>2019</v>
      </c>
    </row>
    <row r="39" ht="32" customHeight="1" spans="1:13">
      <c r="A39" t="s">
        <v>32</v>
      </c>
      <c r="B39" s="3">
        <v>1856.4</v>
      </c>
      <c r="C39" s="3">
        <v>3760.9</v>
      </c>
      <c r="D39" s="3">
        <v>4124.5</v>
      </c>
      <c r="E39" s="3">
        <v>3281.6</v>
      </c>
      <c r="F39" s="3">
        <v>4199.3</v>
      </c>
      <c r="G39" s="3">
        <v>928.3</v>
      </c>
      <c r="H39" s="3">
        <v>3599.2</v>
      </c>
      <c r="M39" s="7" t="s">
        <v>33</v>
      </c>
    </row>
    <row r="40" ht="32" customHeight="1" spans="1:13">
      <c r="A40" t="s">
        <v>34</v>
      </c>
      <c r="B40" s="6">
        <f>B39*B10</f>
        <v>750.356030128263</v>
      </c>
      <c r="C40" s="6">
        <f t="shared" ref="C40:H40" si="1">C39*C10</f>
        <v>1541.58516671436</v>
      </c>
      <c r="D40" s="6">
        <f t="shared" si="1"/>
        <v>1697.42597761633</v>
      </c>
      <c r="E40" s="6">
        <f t="shared" si="1"/>
        <v>1422.46326133629</v>
      </c>
      <c r="F40" s="6">
        <f t="shared" si="1"/>
        <v>2229.48272653722</v>
      </c>
      <c r="G40" s="6">
        <f t="shared" si="1"/>
        <v>458.382067066876</v>
      </c>
      <c r="H40" s="6">
        <f t="shared" si="1"/>
        <v>1635.76699950944</v>
      </c>
      <c r="M40" s="8"/>
    </row>
  </sheetData>
  <mergeCells count="2">
    <mergeCell ref="M8:M11"/>
    <mergeCell ref="M39:M4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陈德丰</cp:lastModifiedBy>
  <dcterms:created xsi:type="dcterms:W3CDTF">2023-05-12T11:15:00Z</dcterms:created>
  <dcterms:modified xsi:type="dcterms:W3CDTF">2025-12-04T17:34:42Z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9360DBE93BFD4773AE6DE2C46995DF9C_12</vt:lpwstr>
  </property>
</Properties>
</file>