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80" windowHeight="12320"/>
  </bookViews>
  <sheets>
    <sheet name="总表" sheetId="3" r:id="rId1"/>
    <sheet name="总表 (2)" sheetId="4" r:id="rId2"/>
    <sheet name="年净收入" sheetId="1" r:id="rId3"/>
    <sheet name="门店数量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<sst xmlns="http://schemas.openxmlformats.org/spreadsheetml/2006/main" count="131" uniqueCount="42">
  <si>
    <t>年</t>
  </si>
  <si>
    <t>2025q3
（增长比较2024q3）</t>
  </si>
  <si>
    <t>净收入总额（亿人民币）（Total net revenues）</t>
  </si>
  <si>
    <t>总净收入（亿美元）</t>
  </si>
  <si>
    <t>增长（%）</t>
  </si>
  <si>
    <t>GAAP营业利润（亿人民币）（GAAP operating income）</t>
  </si>
  <si>
    <t>增长(%)</t>
  </si>
  <si>
    <t>亏损</t>
  </si>
  <si>
    <t>扭亏为盈</t>
  </si>
  <si>
    <t>GAAP营业利润率（%）</t>
  </si>
  <si>
    <t>自营门店收入（亿人民币）</t>
  </si>
  <si>
    <t>自营门店收入（亿人民币）占净收入总额的比例</t>
  </si>
  <si>
    <t>自营门店同店销售额增长率（%）</t>
  </si>
  <si>
    <t>-</t>
  </si>
  <si>
    <t>自营店营业利润（亿人民币）</t>
  </si>
  <si>
    <t>N/A (扭亏)</t>
  </si>
  <si>
    <t>营业利润率（%）</t>
  </si>
  <si>
    <t>合作门店收入（亿人民币）</t>
  </si>
  <si>
    <t>合作门店收入（亿人民币）占净收入总额的比例</t>
  </si>
  <si>
    <t>门店总数</t>
  </si>
  <si>
    <t>单店净收入均值</t>
  </si>
  <si>
    <t>自营门店数</t>
  </si>
  <si>
    <t>合作门店数</t>
  </si>
  <si>
    <t>新开门店数</t>
  </si>
  <si>
    <t>平均每月交易客户数（万）</t>
  </si>
  <si>
    <r>
      <t>材料成本</t>
    </r>
    <r>
      <rPr>
        <sz val="11"/>
        <color rgb="FFFF0000"/>
        <rFont val="宋体"/>
        <charset val="134"/>
        <scheme val="minor"/>
      </rPr>
      <t>（整个瑞幸公司的）（往后都为千元）</t>
    </r>
  </si>
  <si>
    <t>占比（跟净收入总额比较）</t>
  </si>
  <si>
    <t>现泡饮品原材料成本</t>
  </si>
  <si>
    <t>店铺租金及其他运营成本</t>
  </si>
  <si>
    <t>销售和营销费用</t>
  </si>
  <si>
    <t>配送费用</t>
  </si>
  <si>
    <t>管理费用</t>
  </si>
  <si>
    <t>总运营费用</t>
  </si>
  <si>
    <t>运营利润</t>
  </si>
  <si>
    <t>总净利润</t>
  </si>
  <si>
    <t>新增现泡饮品sku数量</t>
  </si>
  <si>
    <t>近80</t>
  </si>
  <si>
    <t>近90</t>
  </si>
  <si>
    <t>净收入总额（亿人民币）</t>
  </si>
  <si>
    <t>GAAP营业利润（亿人民币）</t>
  </si>
  <si>
    <r>
      <rPr>
        <sz val="11"/>
        <color theme="1"/>
        <rFont val="宋体"/>
        <charset val="134"/>
        <scheme val="minor"/>
      </rPr>
      <t>材料成本</t>
    </r>
    <r>
      <rPr>
        <sz val="11"/>
        <color rgb="FFFF0000"/>
        <rFont val="宋体"/>
        <charset val="134"/>
        <scheme val="minor"/>
      </rPr>
      <t>（整个瑞幸公司的）（往后都为千元）</t>
    </r>
  </si>
  <si>
    <t>2,420,46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</si>
</sst>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3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  <xf numFmtId="10" fontId="0" fillId="0" borderId="0" xfId="0" applyNumberFormat="1" applyFill="1">
      <alignment vertical="center"/>
    </xf>
    <xf numFmtId="3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zoomScale="57" zoomScaleNormal="57" workbookViewId="0">
      <selection activeCell="F17" sqref="F17"/>
    </sheetView>
  </sheetViews>
  <sheetFormatPr defaultColWidth="9.23076923076923" defaultRowHeight="16.8" outlineLevelCol="7"/>
  <cols>
    <col min="1" max="1" width="57.6826923076923" customWidth="1"/>
    <col min="2" max="8" width="12.9230769230769"/>
  </cols>
  <sheetData>
    <row r="1" ht="68" spans="1:8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 s="2" t="s">
        <v>1</v>
      </c>
    </row>
    <row r="2" spans="1:8">
      <c r="A2" t="s">
        <v>2</v>
      </c>
      <c r="B2">
        <v>30.25</v>
      </c>
      <c r="C2">
        <v>40.33</v>
      </c>
      <c r="D2">
        <v>79.65</v>
      </c>
      <c r="E2">
        <v>132.93</v>
      </c>
      <c r="F2">
        <v>249.03</v>
      </c>
      <c r="G2">
        <v>344.75</v>
      </c>
      <c r="H2">
        <v>152.87</v>
      </c>
    </row>
    <row r="3" spans="1:8">
      <c r="A3" t="s">
        <v>3</v>
      </c>
      <c r="B3">
        <v>4.35</v>
      </c>
      <c r="C3">
        <v>6.18</v>
      </c>
      <c r="D3">
        <v>12.5</v>
      </c>
      <c r="E3">
        <v>19.27</v>
      </c>
      <c r="F3">
        <v>35.08</v>
      </c>
      <c r="G3">
        <v>47.24</v>
      </c>
      <c r="H3">
        <v>21.43</v>
      </c>
    </row>
    <row r="4" spans="1:8">
      <c r="A4" t="s">
        <v>4</v>
      </c>
      <c r="B4" s="5">
        <v>2.598</v>
      </c>
      <c r="C4" s="5">
        <v>0.333</v>
      </c>
      <c r="D4" s="5">
        <v>0.975</v>
      </c>
      <c r="E4" s="5">
        <v>0.669</v>
      </c>
      <c r="F4" s="5">
        <v>0.873</v>
      </c>
      <c r="G4" s="5">
        <v>0.384</v>
      </c>
      <c r="H4" s="5">
        <v>0.502</v>
      </c>
    </row>
    <row r="5" spans="1:8">
      <c r="A5" t="s">
        <v>5</v>
      </c>
      <c r="B5">
        <v>-32.12</v>
      </c>
      <c r="C5">
        <v>-25.87</v>
      </c>
      <c r="D5">
        <v>-5.39</v>
      </c>
      <c r="E5">
        <v>11.56</v>
      </c>
      <c r="F5">
        <v>30.26</v>
      </c>
      <c r="G5">
        <v>35.38</v>
      </c>
      <c r="H5">
        <v>17.77</v>
      </c>
    </row>
    <row r="6" spans="1:8">
      <c r="A6" t="s">
        <v>6</v>
      </c>
      <c r="B6" t="s">
        <v>7</v>
      </c>
      <c r="C6" t="s">
        <v>7</v>
      </c>
      <c r="D6" t="s">
        <v>7</v>
      </c>
      <c r="E6" t="s">
        <v>8</v>
      </c>
      <c r="F6" s="5">
        <v>1.617</v>
      </c>
      <c r="G6" s="5">
        <v>0.169</v>
      </c>
      <c r="H6" s="5">
        <v>0.129</v>
      </c>
    </row>
    <row r="7" spans="1:8">
      <c r="A7" t="s">
        <v>9</v>
      </c>
      <c r="B7" s="5">
        <v>-1.062</v>
      </c>
      <c r="C7" s="5">
        <v>-0.641</v>
      </c>
      <c r="D7" s="5">
        <v>-0.068</v>
      </c>
      <c r="E7" s="5">
        <v>0.087</v>
      </c>
      <c r="F7" s="5">
        <v>0.121</v>
      </c>
      <c r="G7" s="5">
        <v>0.103</v>
      </c>
      <c r="H7" s="5">
        <v>0.116</v>
      </c>
    </row>
    <row r="8" spans="1:8">
      <c r="A8" t="s">
        <v>10</v>
      </c>
      <c r="B8">
        <v>30.1</v>
      </c>
      <c r="C8">
        <v>37.17</v>
      </c>
      <c r="D8">
        <v>61.93</v>
      </c>
      <c r="E8">
        <v>94.15</v>
      </c>
      <c r="F8">
        <v>178.8</v>
      </c>
      <c r="G8">
        <v>255.92</v>
      </c>
      <c r="H8">
        <v>110.8</v>
      </c>
    </row>
    <row r="9" spans="1:8">
      <c r="A9" t="s">
        <v>11</v>
      </c>
      <c r="B9" s="5">
        <f>B8/B2</f>
        <v>0.99504132231405</v>
      </c>
      <c r="C9" s="5">
        <f t="shared" ref="C9:H9" si="0">C8/C2</f>
        <v>0.921646417059261</v>
      </c>
      <c r="D9" s="5">
        <f t="shared" si="0"/>
        <v>0.777526679221594</v>
      </c>
      <c r="E9" s="5">
        <f t="shared" si="0"/>
        <v>0.708267509215377</v>
      </c>
      <c r="F9" s="5">
        <f t="shared" si="0"/>
        <v>0.717985784845199</v>
      </c>
      <c r="G9" s="5">
        <f t="shared" si="0"/>
        <v>0.742335025380711</v>
      </c>
      <c r="H9" s="5">
        <f t="shared" si="0"/>
        <v>0.72479884869497</v>
      </c>
    </row>
    <row r="10" spans="1:8">
      <c r="A10" t="s">
        <v>4</v>
      </c>
      <c r="B10" s="5">
        <v>2.58</v>
      </c>
      <c r="C10" s="5">
        <v>0.235</v>
      </c>
      <c r="D10" s="5">
        <v>0.783</v>
      </c>
      <c r="E10" s="5">
        <v>0.52</v>
      </c>
      <c r="F10" s="5">
        <v>0.827</v>
      </c>
      <c r="G10" s="5">
        <v>0.431</v>
      </c>
      <c r="H10" s="5">
        <v>0.477</v>
      </c>
    </row>
    <row r="11" spans="1:8">
      <c r="A11" t="s">
        <v>12</v>
      </c>
      <c r="B11" t="s">
        <v>13</v>
      </c>
      <c r="C11" t="s">
        <v>13</v>
      </c>
      <c r="D11" s="5">
        <v>0.693</v>
      </c>
      <c r="E11" s="5">
        <v>0.206</v>
      </c>
      <c r="F11" s="5">
        <v>0.21</v>
      </c>
      <c r="G11" s="5">
        <v>-0.167</v>
      </c>
      <c r="H11" s="5">
        <v>0.144</v>
      </c>
    </row>
    <row r="12" spans="1:8">
      <c r="A12" t="s">
        <v>14</v>
      </c>
      <c r="B12">
        <v>-11.42</v>
      </c>
      <c r="C12">
        <v>-4.65</v>
      </c>
      <c r="D12">
        <v>12.53</v>
      </c>
      <c r="E12">
        <v>24.82</v>
      </c>
      <c r="F12">
        <v>39.75</v>
      </c>
      <c r="G12">
        <v>48.36</v>
      </c>
      <c r="H12">
        <v>19.41</v>
      </c>
    </row>
    <row r="13" spans="1:8">
      <c r="A13" t="s">
        <v>4</v>
      </c>
      <c r="B13" t="s">
        <v>13</v>
      </c>
      <c r="C13" t="s">
        <v>13</v>
      </c>
      <c r="D13" t="s">
        <v>15</v>
      </c>
      <c r="E13" s="5">
        <v>0.981</v>
      </c>
      <c r="F13" s="5">
        <v>0.673</v>
      </c>
      <c r="G13" s="5">
        <v>0.217</v>
      </c>
      <c r="H13" s="5">
        <v>0.102</v>
      </c>
    </row>
    <row r="14" spans="1:8">
      <c r="A14" t="s">
        <v>16</v>
      </c>
      <c r="B14" s="5">
        <v>-0.38</v>
      </c>
      <c r="C14" s="5">
        <v>-0.125</v>
      </c>
      <c r="D14" s="5">
        <v>0.202</v>
      </c>
      <c r="E14" s="5">
        <v>0.264</v>
      </c>
      <c r="F14" s="5">
        <v>0.222</v>
      </c>
      <c r="G14" s="5">
        <v>0.189</v>
      </c>
      <c r="H14" s="5">
        <v>0.175</v>
      </c>
    </row>
    <row r="15" spans="1:8">
      <c r="A15" t="s">
        <v>17</v>
      </c>
      <c r="B15">
        <v>0.15</v>
      </c>
      <c r="C15">
        <v>3.17</v>
      </c>
      <c r="D15">
        <v>13.06</v>
      </c>
      <c r="E15">
        <v>30.69</v>
      </c>
      <c r="F15">
        <v>62.26</v>
      </c>
      <c r="G15">
        <v>77.45</v>
      </c>
      <c r="H15">
        <v>37.99</v>
      </c>
    </row>
    <row r="16" spans="1:8">
      <c r="A16" t="s">
        <v>18</v>
      </c>
      <c r="B16" s="5">
        <f>B15/B2</f>
        <v>0.00495867768595041</v>
      </c>
      <c r="C16" s="5">
        <f t="shared" ref="C16:H16" si="1">C15/C2</f>
        <v>0.0786015373171337</v>
      </c>
      <c r="D16" s="5">
        <f t="shared" si="1"/>
        <v>0.163967357187696</v>
      </c>
      <c r="E16" s="5">
        <f t="shared" si="1"/>
        <v>0.230873392010833</v>
      </c>
      <c r="F16" s="5">
        <f t="shared" si="1"/>
        <v>0.25001003895113</v>
      </c>
      <c r="G16" s="5">
        <f t="shared" si="1"/>
        <v>0.224655547498187</v>
      </c>
      <c r="H16" s="5">
        <f t="shared" si="1"/>
        <v>0.248511807418068</v>
      </c>
    </row>
    <row r="17" spans="1:8">
      <c r="A17" t="s">
        <v>4</v>
      </c>
      <c r="B17" t="s">
        <v>13</v>
      </c>
      <c r="C17" s="5">
        <v>19.635</v>
      </c>
      <c r="D17" s="5">
        <v>3.125</v>
      </c>
      <c r="E17" s="5">
        <v>1.35</v>
      </c>
      <c r="F17" s="5">
        <v>1.028</v>
      </c>
      <c r="G17" s="5">
        <v>0.244</v>
      </c>
      <c r="H17" s="5">
        <v>0.623</v>
      </c>
    </row>
    <row r="18" spans="1:8">
      <c r="A18" t="s">
        <v>19</v>
      </c>
      <c r="B18" s="3">
        <v>4789</v>
      </c>
      <c r="C18" s="3">
        <v>4803</v>
      </c>
      <c r="D18" s="3">
        <v>6024</v>
      </c>
      <c r="E18" s="3">
        <v>8214</v>
      </c>
      <c r="F18" s="3">
        <v>16248</v>
      </c>
      <c r="G18" s="3">
        <v>22340</v>
      </c>
      <c r="H18" s="3">
        <v>29214</v>
      </c>
    </row>
    <row r="19" spans="1:8">
      <c r="A19" t="s">
        <v>4</v>
      </c>
      <c r="B19" s="5">
        <v>1.31</v>
      </c>
      <c r="C19" s="5">
        <v>0.003</v>
      </c>
      <c r="D19" s="5">
        <v>0.254</v>
      </c>
      <c r="E19" s="5">
        <v>0.364</v>
      </c>
      <c r="F19" s="5">
        <v>0.978</v>
      </c>
      <c r="G19" s="5">
        <v>0.375</v>
      </c>
      <c r="H19" s="5">
        <v>0.3688</v>
      </c>
    </row>
    <row r="20" spans="1:8">
      <c r="A20" t="s">
        <v>20</v>
      </c>
      <c r="B20" s="3">
        <f>B2/B18*10000</f>
        <v>63.1655878053873</v>
      </c>
      <c r="C20" s="3">
        <f t="shared" ref="C20:H20" si="2">C2/C18*10000</f>
        <v>83.9683531126379</v>
      </c>
      <c r="D20" s="3">
        <f t="shared" si="2"/>
        <v>132.221115537849</v>
      </c>
      <c r="E20" s="3">
        <f t="shared" si="2"/>
        <v>161.833455076698</v>
      </c>
      <c r="F20" s="3">
        <f t="shared" si="2"/>
        <v>153.268094534712</v>
      </c>
      <c r="G20" s="3">
        <f t="shared" si="2"/>
        <v>154.319606087735</v>
      </c>
      <c r="H20" s="3">
        <f t="shared" si="2"/>
        <v>52.3276511261724</v>
      </c>
    </row>
    <row r="21" spans="1:8">
      <c r="A21" t="s">
        <v>21</v>
      </c>
      <c r="B21" s="3">
        <v>4507</v>
      </c>
      <c r="C21" s="3">
        <v>3929</v>
      </c>
      <c r="D21" s="3">
        <v>4397</v>
      </c>
      <c r="E21" s="3">
        <v>5652</v>
      </c>
      <c r="F21" s="3">
        <v>10628</v>
      </c>
      <c r="G21" s="3">
        <v>14591</v>
      </c>
      <c r="H21" s="3">
        <v>18882</v>
      </c>
    </row>
    <row r="22" spans="1:8">
      <c r="A22" t="s">
        <v>22</v>
      </c>
      <c r="B22">
        <v>282</v>
      </c>
      <c r="C22">
        <v>874</v>
      </c>
      <c r="D22" s="3">
        <v>1627</v>
      </c>
      <c r="E22" s="3">
        <v>2562</v>
      </c>
      <c r="F22" s="3">
        <v>5620</v>
      </c>
      <c r="G22" s="3">
        <v>7749</v>
      </c>
      <c r="H22" s="3">
        <v>10332</v>
      </c>
    </row>
    <row r="23" spans="1:8">
      <c r="A23" t="s">
        <v>23</v>
      </c>
      <c r="B23" s="3">
        <v>2716</v>
      </c>
      <c r="C23">
        <v>14</v>
      </c>
      <c r="D23" s="3">
        <v>1221</v>
      </c>
      <c r="E23" s="3">
        <v>2190</v>
      </c>
      <c r="F23" s="3">
        <v>8034</v>
      </c>
      <c r="G23" s="3">
        <v>6092</v>
      </c>
      <c r="H23" s="3">
        <v>7871</v>
      </c>
    </row>
    <row r="24" spans="1:8">
      <c r="A24" t="s">
        <v>24</v>
      </c>
      <c r="B24" s="3">
        <v>1159</v>
      </c>
      <c r="C24">
        <v>840</v>
      </c>
      <c r="D24" s="3">
        <v>1300</v>
      </c>
      <c r="E24" s="3">
        <v>2160</v>
      </c>
      <c r="F24" s="3">
        <v>4840</v>
      </c>
      <c r="G24" s="3">
        <v>7180</v>
      </c>
      <c r="H24" s="3">
        <v>11230</v>
      </c>
    </row>
    <row r="25" spans="1:8">
      <c r="A25" t="s">
        <v>4</v>
      </c>
      <c r="B25" s="5">
        <v>1.679</v>
      </c>
      <c r="C25" s="5">
        <v>-0.097</v>
      </c>
      <c r="D25" s="5">
        <v>0.552</v>
      </c>
      <c r="E25" s="5">
        <v>0.662</v>
      </c>
      <c r="F25" s="5">
        <v>1.241</v>
      </c>
      <c r="G25" s="5">
        <v>0.485</v>
      </c>
      <c r="H25" s="5">
        <v>0.406</v>
      </c>
    </row>
    <row r="26" ht="17" spans="1:8">
      <c r="A26" s="1" t="s">
        <v>25</v>
      </c>
      <c r="B26" s="3">
        <v>1623324</v>
      </c>
      <c r="C26" s="3">
        <v>1995380</v>
      </c>
      <c r="D26" s="3">
        <v>3198552</v>
      </c>
      <c r="E26" s="3">
        <v>5178963</v>
      </c>
      <c r="F26" s="3">
        <v>10892214</v>
      </c>
      <c r="G26" s="3">
        <v>14115299</v>
      </c>
      <c r="H26" s="3">
        <v>5539919</v>
      </c>
    </row>
    <row r="27" spans="1:8">
      <c r="A27" t="s">
        <v>26</v>
      </c>
      <c r="B27" s="5">
        <f>B26/B2/100000</f>
        <v>0.536636033057851</v>
      </c>
      <c r="C27" s="5">
        <f>C26/C2/100000</f>
        <v>0.494763203570543</v>
      </c>
      <c r="D27" s="5">
        <f>D26/D2/100000</f>
        <v>0.401575894538606</v>
      </c>
      <c r="E27" s="5">
        <f>E26/E2/100000</f>
        <v>0.389600767321146</v>
      </c>
      <c r="F27" s="5">
        <f>F26/F2/100000</f>
        <v>0.43738561619082</v>
      </c>
      <c r="G27" s="5">
        <f>G26/G2/100000</f>
        <v>0.409435794053662</v>
      </c>
    </row>
    <row r="28" spans="1:8">
      <c r="A28" t="s">
        <v>27</v>
      </c>
      <c r="B28" s="3">
        <v>1074493</v>
      </c>
      <c r="C28" s="3">
        <v>1199309</v>
      </c>
      <c r="D28" s="3">
        <v>1781834</v>
      </c>
      <c r="E28" s="3">
        <v>2573298</v>
      </c>
      <c r="F28" s="3">
        <v>5292818</v>
      </c>
      <c r="G28" s="3">
        <v>7294769</v>
      </c>
    </row>
    <row r="29" spans="1:8">
      <c r="A29" t="s">
        <v>28</v>
      </c>
      <c r="B29" s="3">
        <v>1597125</v>
      </c>
      <c r="C29" s="3">
        <v>1726619</v>
      </c>
      <c r="D29" s="3">
        <v>2036772</v>
      </c>
      <c r="E29" s="3">
        <v>2829987</v>
      </c>
      <c r="F29" s="3">
        <v>5167482</v>
      </c>
      <c r="G29" s="3">
        <v>8540683</v>
      </c>
      <c r="H29" s="3">
        <v>3097088</v>
      </c>
    </row>
    <row r="30" spans="1:8">
      <c r="A30" t="s">
        <v>26</v>
      </c>
      <c r="B30" s="5">
        <f>B29/B2/100000</f>
        <v>0.52797520661157</v>
      </c>
      <c r="C30" s="5">
        <f>C29/C2/100000</f>
        <v>0.428122737416315</v>
      </c>
      <c r="D30" s="5">
        <f>D29/D2/100000</f>
        <v>0.255715254237288</v>
      </c>
      <c r="E30" s="5">
        <f>E29/E2/100000</f>
        <v>0.212893026404875</v>
      </c>
      <c r="F30" s="5">
        <f>F29/F2/100000</f>
        <v>0.207504397060595</v>
      </c>
      <c r="G30" s="5">
        <f>G29/G2/100000</f>
        <v>0.247735547498187</v>
      </c>
      <c r="H30" s="3"/>
    </row>
    <row r="31" spans="1:8">
      <c r="A31" t="s">
        <v>29</v>
      </c>
      <c r="B31" s="3">
        <v>812592</v>
      </c>
      <c r="C31" s="3">
        <v>462112</v>
      </c>
      <c r="D31" s="3">
        <v>336855</v>
      </c>
      <c r="E31" s="3">
        <v>570122</v>
      </c>
      <c r="F31" s="3">
        <v>1286523</v>
      </c>
      <c r="G31" s="3">
        <v>1920305</v>
      </c>
      <c r="H31" s="3">
        <v>751239</v>
      </c>
    </row>
    <row r="32" spans="1:8">
      <c r="A32" t="s">
        <v>26</v>
      </c>
      <c r="B32" s="5">
        <f>B31/B2/100000</f>
        <v>0.268625454545455</v>
      </c>
      <c r="C32" s="5">
        <f>C31/C2/100000</f>
        <v>0.114582692784528</v>
      </c>
      <c r="D32" s="5">
        <f>D31/D2/100000</f>
        <v>0.0422919020715631</v>
      </c>
      <c r="E32" s="5">
        <f>E31/E2/100000</f>
        <v>0.0428888888888889</v>
      </c>
      <c r="F32" s="5">
        <f>F31/F2/100000</f>
        <v>0.0516613661004698</v>
      </c>
      <c r="G32" s="5">
        <f>G31/G2/100000</f>
        <v>0.0557013778100073</v>
      </c>
      <c r="H32" s="3"/>
    </row>
    <row r="33" spans="1:8">
      <c r="A33" t="s">
        <v>30</v>
      </c>
      <c r="B33" s="3">
        <v>438914</v>
      </c>
      <c r="C33" s="3">
        <v>414808</v>
      </c>
      <c r="D33" s="3">
        <v>819549</v>
      </c>
      <c r="E33" s="3">
        <v>1373219</v>
      </c>
      <c r="F33" s="3">
        <v>2010699</v>
      </c>
      <c r="G33" s="3">
        <v>2821069</v>
      </c>
      <c r="H33" s="3">
        <v>2889182</v>
      </c>
    </row>
    <row r="34" spans="1:8">
      <c r="A34" t="s">
        <v>26</v>
      </c>
      <c r="B34" s="5">
        <f>B33/B2/100000</f>
        <v>0.145095537190083</v>
      </c>
      <c r="C34" s="5">
        <f>C33/C2/100000</f>
        <v>0.102853458963551</v>
      </c>
      <c r="D34" s="5">
        <f>D33/D2/100000</f>
        <v>0.102893785310734</v>
      </c>
      <c r="E34" s="5">
        <f>E33/E2/100000</f>
        <v>0.103303919356052</v>
      </c>
      <c r="F34" s="5">
        <f>F33/F2/100000</f>
        <v>0.0807412359956632</v>
      </c>
      <c r="G34" s="5">
        <f>G33/G2/100000</f>
        <v>0.081829412617839</v>
      </c>
      <c r="H34" s="3"/>
    </row>
    <row r="35" spans="1:8">
      <c r="A35" t="s">
        <v>31</v>
      </c>
      <c r="B35" s="3">
        <v>1072339</v>
      </c>
      <c r="C35" s="3">
        <v>981645</v>
      </c>
      <c r="D35" s="3">
        <v>1269988</v>
      </c>
      <c r="E35" s="3">
        <v>1459550</v>
      </c>
      <c r="F35" s="3">
        <v>1829651</v>
      </c>
      <c r="G35" s="3">
        <v>2420462</v>
      </c>
      <c r="H35" s="3">
        <v>793449</v>
      </c>
    </row>
    <row r="36" s="6" customFormat="1" spans="1:8">
      <c r="A36" t="s">
        <v>26</v>
      </c>
      <c r="B36" s="7">
        <f>B35/B2/100000</f>
        <v>0.354492231404959</v>
      </c>
      <c r="C36" s="7">
        <f>C35/C2/100000</f>
        <v>0.243403173816018</v>
      </c>
      <c r="D36" s="7">
        <f>D35/D2/100000</f>
        <v>0.15944607658506</v>
      </c>
      <c r="E36" s="7">
        <f>E35/E2/100000</f>
        <v>0.109798390130144</v>
      </c>
      <c r="F36" s="7">
        <f>F35/F2/100000</f>
        <v>0.0734711078986467</v>
      </c>
      <c r="G36" s="7">
        <f>G35/G2/100000</f>
        <v>0.0702091950688905</v>
      </c>
      <c r="H36" s="8"/>
    </row>
    <row r="37" s="6" customFormat="1" spans="1:8">
      <c r="A37" s="6" t="s">
        <v>32</v>
      </c>
      <c r="B37" s="8">
        <v>6237049</v>
      </c>
      <c r="C37" s="8">
        <v>6620686</v>
      </c>
      <c r="D37" s="8">
        <v>8504377</v>
      </c>
      <c r="E37" s="8">
        <v>12136803</v>
      </c>
      <c r="F37" s="8">
        <v>21877548</v>
      </c>
      <c r="G37" s="8">
        <v>30936753</v>
      </c>
      <c r="H37" s="8">
        <v>13510558</v>
      </c>
    </row>
    <row r="38" customFormat="1" spans="1:8">
      <c r="A38" t="s">
        <v>26</v>
      </c>
      <c r="B38" s="7">
        <f>B37/B2/100000</f>
        <v>2.06183438016529</v>
      </c>
      <c r="C38" s="7">
        <f>C37/C2/100000</f>
        <v>1.64162806843541</v>
      </c>
      <c r="D38" s="7">
        <f>D37/D2/100000</f>
        <v>1.06771839296924</v>
      </c>
      <c r="E38" s="7">
        <f>E37/E2/100000</f>
        <v>0.913022116903633</v>
      </c>
      <c r="F38" s="7">
        <f>F37/F2/100000</f>
        <v>0.878510540898687</v>
      </c>
      <c r="G38" s="7">
        <f>G37/G2/100000</f>
        <v>0.897367744742567</v>
      </c>
      <c r="H38" s="3"/>
    </row>
    <row r="39" spans="1:8">
      <c r="A39" t="s">
        <v>33</v>
      </c>
      <c r="B39" s="3">
        <v>-3212115</v>
      </c>
      <c r="C39" s="3">
        <v>-2587268</v>
      </c>
      <c r="D39" s="3">
        <v>-539054</v>
      </c>
      <c r="E39" s="3">
        <v>1156179</v>
      </c>
      <c r="F39" s="3">
        <v>3025618</v>
      </c>
      <c r="G39" s="3">
        <v>3538061</v>
      </c>
      <c r="H39" s="3">
        <v>1776554</v>
      </c>
    </row>
    <row r="40" spans="1:8">
      <c r="A40" t="s">
        <v>34</v>
      </c>
      <c r="B40" s="3">
        <v>-3160507</v>
      </c>
      <c r="C40" s="3">
        <v>-5602990</v>
      </c>
      <c r="D40" s="3">
        <v>686270</v>
      </c>
      <c r="E40" s="3">
        <v>488246</v>
      </c>
      <c r="F40" s="3">
        <v>2847933</v>
      </c>
      <c r="G40" s="3">
        <v>2931703</v>
      </c>
      <c r="H40" s="3">
        <v>1278324</v>
      </c>
    </row>
    <row r="42" spans="1:8">
      <c r="A42" t="s">
        <v>35</v>
      </c>
      <c r="D42">
        <v>113</v>
      </c>
      <c r="E42">
        <v>108</v>
      </c>
      <c r="F42" t="s">
        <v>36</v>
      </c>
      <c r="G42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77" zoomScaleNormal="77" workbookViewId="0">
      <selection activeCell="A29" sqref="$A29:$XFD29"/>
    </sheetView>
  </sheetViews>
  <sheetFormatPr defaultColWidth="9.23076923076923" defaultRowHeight="16.8" outlineLevelCol="7"/>
  <cols>
    <col min="1" max="1" width="57.6826923076923" customWidth="1"/>
    <col min="2" max="3" width="10.3076923076923"/>
    <col min="4" max="4" width="9.61538461538461"/>
    <col min="5" max="8" width="10.6923076923077"/>
  </cols>
  <sheetData>
    <row r="1" ht="68" spans="1:8">
      <c r="A1" t="s">
        <v>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 s="2" t="s">
        <v>1</v>
      </c>
    </row>
    <row r="2" spans="1:8">
      <c r="A2" t="s">
        <v>2</v>
      </c>
      <c r="B2">
        <v>30.25</v>
      </c>
      <c r="C2">
        <v>40.33</v>
      </c>
      <c r="D2">
        <v>79.65</v>
      </c>
      <c r="E2">
        <v>132.93</v>
      </c>
      <c r="F2">
        <v>249.03</v>
      </c>
      <c r="G2">
        <v>344.75</v>
      </c>
      <c r="H2">
        <v>152.87</v>
      </c>
    </row>
    <row r="3" spans="1:8">
      <c r="A3" t="s">
        <v>3</v>
      </c>
      <c r="B3">
        <v>4.35</v>
      </c>
      <c r="C3">
        <v>6.18</v>
      </c>
      <c r="D3">
        <v>12.5</v>
      </c>
      <c r="E3">
        <v>19.27</v>
      </c>
      <c r="F3">
        <v>35.08</v>
      </c>
      <c r="G3">
        <v>47.24</v>
      </c>
      <c r="H3">
        <v>21.43</v>
      </c>
    </row>
    <row r="4" spans="1:8">
      <c r="A4" t="s">
        <v>4</v>
      </c>
      <c r="B4" s="5">
        <v>2.598</v>
      </c>
      <c r="C4" s="5">
        <v>0.333</v>
      </c>
      <c r="D4" s="5">
        <v>0.975</v>
      </c>
      <c r="E4" s="5">
        <v>0.669</v>
      </c>
      <c r="F4" s="5">
        <v>0.873</v>
      </c>
      <c r="G4" s="5">
        <v>0.384</v>
      </c>
      <c r="H4" s="5">
        <v>0.502</v>
      </c>
    </row>
    <row r="5" spans="1:8">
      <c r="A5" t="s">
        <v>5</v>
      </c>
      <c r="B5">
        <v>-32.12</v>
      </c>
      <c r="C5">
        <v>-25.87</v>
      </c>
      <c r="D5">
        <v>-5.39</v>
      </c>
      <c r="E5">
        <v>11.56</v>
      </c>
      <c r="F5">
        <v>30.26</v>
      </c>
      <c r="G5">
        <v>35.38</v>
      </c>
      <c r="H5">
        <v>17.77</v>
      </c>
    </row>
    <row r="6" spans="1:8">
      <c r="A6" t="s">
        <v>6</v>
      </c>
      <c r="B6" t="s">
        <v>7</v>
      </c>
      <c r="C6" t="s">
        <v>7</v>
      </c>
      <c r="D6" t="s">
        <v>7</v>
      </c>
      <c r="E6" t="s">
        <v>8</v>
      </c>
      <c r="F6" s="5">
        <v>1.617</v>
      </c>
      <c r="G6" s="5">
        <v>0.169</v>
      </c>
      <c r="H6" s="5">
        <v>0.129</v>
      </c>
    </row>
    <row r="7" spans="1:8">
      <c r="A7" t="s">
        <v>9</v>
      </c>
      <c r="B7" s="5">
        <v>-1.062</v>
      </c>
      <c r="C7" s="5">
        <v>-0.641</v>
      </c>
      <c r="D7" s="5">
        <v>-0.068</v>
      </c>
      <c r="E7" s="5">
        <v>0.087</v>
      </c>
      <c r="F7" s="5">
        <v>0.121</v>
      </c>
      <c r="G7" s="5">
        <v>0.103</v>
      </c>
      <c r="H7" s="5">
        <v>0.116</v>
      </c>
    </row>
    <row r="8" spans="1:8">
      <c r="A8" t="s">
        <v>10</v>
      </c>
      <c r="B8">
        <v>30.1</v>
      </c>
      <c r="C8">
        <v>37.17</v>
      </c>
      <c r="D8">
        <v>61.93</v>
      </c>
      <c r="E8">
        <v>94.15</v>
      </c>
      <c r="F8">
        <v>178.8</v>
      </c>
      <c r="G8">
        <v>255.92</v>
      </c>
      <c r="H8">
        <v>110.8</v>
      </c>
    </row>
    <row r="9" spans="1:8">
      <c r="A9" t="s">
        <v>4</v>
      </c>
      <c r="B9" s="5">
        <v>2.58</v>
      </c>
      <c r="C9" s="5">
        <v>0.235</v>
      </c>
      <c r="D9" s="5">
        <v>0.783</v>
      </c>
      <c r="E9" s="5">
        <v>0.52</v>
      </c>
      <c r="F9" s="5">
        <v>0.827</v>
      </c>
      <c r="G9" s="5">
        <v>0.431</v>
      </c>
      <c r="H9" s="5">
        <v>0.477</v>
      </c>
    </row>
    <row r="10" spans="1:8">
      <c r="A10" t="s">
        <v>12</v>
      </c>
      <c r="B10" t="s">
        <v>13</v>
      </c>
      <c r="C10" t="s">
        <v>13</v>
      </c>
      <c r="D10" s="5">
        <v>0.693</v>
      </c>
      <c r="E10" s="5">
        <v>0.206</v>
      </c>
      <c r="F10" s="5">
        <v>0.21</v>
      </c>
      <c r="G10" s="5">
        <v>-0.167</v>
      </c>
      <c r="H10" s="5">
        <v>0.144</v>
      </c>
    </row>
    <row r="11" spans="1:8">
      <c r="A11" t="s">
        <v>14</v>
      </c>
      <c r="B11">
        <v>-11.42</v>
      </c>
      <c r="C11">
        <v>-4.65</v>
      </c>
      <c r="D11">
        <v>12.53</v>
      </c>
      <c r="E11">
        <v>24.82</v>
      </c>
      <c r="F11">
        <v>39.75</v>
      </c>
      <c r="G11">
        <v>48.36</v>
      </c>
      <c r="H11">
        <v>19.41</v>
      </c>
    </row>
    <row r="12" spans="1:8">
      <c r="A12" t="s">
        <v>4</v>
      </c>
      <c r="B12" t="s">
        <v>13</v>
      </c>
      <c r="C12" t="s">
        <v>13</v>
      </c>
      <c r="D12" t="s">
        <v>15</v>
      </c>
      <c r="E12" s="5">
        <v>0.981</v>
      </c>
      <c r="F12" s="5">
        <v>0.673</v>
      </c>
      <c r="G12" s="5">
        <v>0.217</v>
      </c>
      <c r="H12" s="5">
        <v>0.102</v>
      </c>
    </row>
    <row r="13" spans="1:8">
      <c r="A13" t="s">
        <v>16</v>
      </c>
      <c r="B13" s="5">
        <v>-0.38</v>
      </c>
      <c r="C13" s="5">
        <v>-0.125</v>
      </c>
      <c r="D13" s="5">
        <v>0.202</v>
      </c>
      <c r="E13" s="5">
        <v>0.264</v>
      </c>
      <c r="F13" s="5">
        <v>0.222</v>
      </c>
      <c r="G13" s="5">
        <v>0.189</v>
      </c>
      <c r="H13" s="5">
        <v>0.175</v>
      </c>
    </row>
    <row r="14" spans="1:8">
      <c r="A14" t="s">
        <v>17</v>
      </c>
      <c r="B14">
        <v>0.15</v>
      </c>
      <c r="C14">
        <v>3.17</v>
      </c>
      <c r="D14">
        <v>13.06</v>
      </c>
      <c r="E14">
        <v>30.69</v>
      </c>
      <c r="F14">
        <v>62.26</v>
      </c>
      <c r="G14">
        <v>77.45</v>
      </c>
      <c r="H14">
        <v>37.99</v>
      </c>
    </row>
    <row r="15" spans="1:8">
      <c r="A15" t="s">
        <v>4</v>
      </c>
      <c r="B15" t="s">
        <v>13</v>
      </c>
      <c r="C15" s="5">
        <v>19.635</v>
      </c>
      <c r="D15" s="5">
        <v>3.125</v>
      </c>
      <c r="E15" s="5">
        <v>1.35</v>
      </c>
      <c r="F15" s="5">
        <v>1.028</v>
      </c>
      <c r="G15" s="5">
        <v>0.244</v>
      </c>
      <c r="H15" s="5">
        <v>0.623</v>
      </c>
    </row>
    <row r="16" spans="1:8">
      <c r="A16" t="s">
        <v>19</v>
      </c>
      <c r="B16" s="3">
        <v>4789</v>
      </c>
      <c r="C16" s="3">
        <v>4803</v>
      </c>
      <c r="D16" s="3">
        <v>6024</v>
      </c>
      <c r="E16" s="3">
        <v>8214</v>
      </c>
      <c r="F16" s="3">
        <v>16248</v>
      </c>
      <c r="G16" s="3">
        <v>22340</v>
      </c>
      <c r="H16" s="3">
        <v>29214</v>
      </c>
    </row>
    <row r="17" spans="1:8">
      <c r="A17" t="s">
        <v>4</v>
      </c>
      <c r="B17" s="5">
        <v>1.31</v>
      </c>
      <c r="C17" s="5">
        <v>0.003</v>
      </c>
      <c r="D17" s="5">
        <v>0.254</v>
      </c>
      <c r="E17" s="5">
        <v>0.364</v>
      </c>
      <c r="F17" s="5">
        <v>0.978</v>
      </c>
      <c r="G17" s="5">
        <v>0.375</v>
      </c>
      <c r="H17" s="5">
        <v>0.3688</v>
      </c>
    </row>
    <row r="18" spans="1:8">
      <c r="A18" t="s">
        <v>21</v>
      </c>
      <c r="B18" s="3">
        <v>4507</v>
      </c>
      <c r="C18" s="3">
        <v>3929</v>
      </c>
      <c r="D18" s="3">
        <v>4397</v>
      </c>
      <c r="E18" s="3">
        <v>5652</v>
      </c>
      <c r="F18" s="3">
        <v>10628</v>
      </c>
      <c r="G18" s="3">
        <v>14591</v>
      </c>
      <c r="H18" s="3">
        <v>18882</v>
      </c>
    </row>
    <row r="19" spans="1:8">
      <c r="A19" t="s">
        <v>22</v>
      </c>
      <c r="B19">
        <v>282</v>
      </c>
      <c r="C19">
        <v>874</v>
      </c>
      <c r="D19" s="3">
        <v>1627</v>
      </c>
      <c r="E19" s="3">
        <v>2562</v>
      </c>
      <c r="F19" s="3">
        <v>5620</v>
      </c>
      <c r="G19" s="3">
        <v>7749</v>
      </c>
      <c r="H19" s="3">
        <v>10332</v>
      </c>
    </row>
    <row r="20" spans="1:8">
      <c r="A20" t="s">
        <v>23</v>
      </c>
      <c r="B20" s="3">
        <v>2716</v>
      </c>
      <c r="C20">
        <v>14</v>
      </c>
      <c r="D20" s="3">
        <v>1221</v>
      </c>
      <c r="E20" s="3">
        <v>2190</v>
      </c>
      <c r="F20" s="3">
        <v>8034</v>
      </c>
      <c r="G20" s="3">
        <v>6092</v>
      </c>
      <c r="H20" s="3">
        <v>7871</v>
      </c>
    </row>
    <row r="21" spans="1:8">
      <c r="A21" t="s">
        <v>24</v>
      </c>
      <c r="B21" s="3">
        <v>1159</v>
      </c>
      <c r="C21">
        <v>840</v>
      </c>
      <c r="D21" s="3">
        <v>1300</v>
      </c>
      <c r="E21" s="3">
        <v>2160</v>
      </c>
      <c r="F21" s="3">
        <v>4840</v>
      </c>
      <c r="G21" s="3">
        <v>7180</v>
      </c>
      <c r="H21" s="3">
        <v>11230</v>
      </c>
    </row>
    <row r="22" spans="1:8">
      <c r="A22" t="s">
        <v>4</v>
      </c>
      <c r="B22" s="5">
        <v>1.679</v>
      </c>
      <c r="C22" s="5">
        <v>-0.097</v>
      </c>
      <c r="D22" s="5">
        <v>0.552</v>
      </c>
      <c r="E22" s="5">
        <v>0.662</v>
      </c>
      <c r="F22" s="5">
        <v>1.241</v>
      </c>
      <c r="G22" s="5">
        <v>0.485</v>
      </c>
      <c r="H22" s="5">
        <v>0.406</v>
      </c>
    </row>
    <row r="23" ht="17" spans="1:8">
      <c r="A23" s="1" t="s">
        <v>25</v>
      </c>
      <c r="B23" s="3">
        <v>1623324</v>
      </c>
      <c r="C23" s="3">
        <v>1995380</v>
      </c>
      <c r="D23" s="3">
        <v>3198552</v>
      </c>
      <c r="E23" s="3">
        <v>5178963</v>
      </c>
      <c r="F23" s="3">
        <v>10892214</v>
      </c>
      <c r="G23" s="3">
        <v>14115299</v>
      </c>
      <c r="H23" s="3">
        <v>5539919</v>
      </c>
    </row>
    <row r="24" spans="1:8">
      <c r="A24" t="s">
        <v>27</v>
      </c>
      <c r="B24" s="3">
        <v>1074493</v>
      </c>
      <c r="C24" s="3">
        <v>1199309</v>
      </c>
      <c r="D24" s="3">
        <v>1781834</v>
      </c>
      <c r="E24" s="3">
        <v>2573298</v>
      </c>
      <c r="F24" s="3">
        <v>5292818</v>
      </c>
      <c r="G24" s="3">
        <v>7294769</v>
      </c>
    </row>
    <row r="25" spans="1:8">
      <c r="A25" t="s">
        <v>28</v>
      </c>
      <c r="B25" s="3">
        <v>1597125</v>
      </c>
      <c r="C25" s="3">
        <v>1726619</v>
      </c>
      <c r="D25" s="3">
        <v>2036772</v>
      </c>
      <c r="E25" s="3">
        <v>2829987</v>
      </c>
      <c r="F25" s="3">
        <v>5167482</v>
      </c>
      <c r="G25" s="3">
        <v>8540683</v>
      </c>
      <c r="H25" s="3">
        <v>3097088</v>
      </c>
    </row>
    <row r="26" spans="1:8">
      <c r="A26" t="s">
        <v>29</v>
      </c>
      <c r="B26" s="3">
        <v>812592</v>
      </c>
      <c r="C26" s="3">
        <v>462112</v>
      </c>
      <c r="D26" s="3">
        <v>336855</v>
      </c>
      <c r="E26" s="3">
        <v>570122</v>
      </c>
      <c r="F26" s="3">
        <v>1286523</v>
      </c>
      <c r="G26" s="3">
        <v>1920305</v>
      </c>
      <c r="H26" s="3">
        <v>751239</v>
      </c>
    </row>
    <row r="27" spans="1:8">
      <c r="A27" t="s">
        <v>30</v>
      </c>
      <c r="B27" s="3">
        <v>438914</v>
      </c>
      <c r="C27" s="3">
        <v>414808</v>
      </c>
      <c r="D27" s="3">
        <v>819549</v>
      </c>
      <c r="E27" s="3">
        <v>1373219</v>
      </c>
      <c r="F27" s="3">
        <v>2010699</v>
      </c>
      <c r="G27" s="3">
        <v>2821069</v>
      </c>
      <c r="H27" s="3">
        <v>2889182</v>
      </c>
    </row>
    <row r="28" spans="1:8">
      <c r="A28" t="s">
        <v>31</v>
      </c>
      <c r="B28" s="3">
        <v>1072339</v>
      </c>
      <c r="C28" s="3">
        <v>981645</v>
      </c>
      <c r="D28" s="3">
        <v>1269988</v>
      </c>
      <c r="E28" s="3">
        <v>1459550</v>
      </c>
      <c r="F28" s="3">
        <v>1829651</v>
      </c>
      <c r="G28" s="3">
        <v>2420462</v>
      </c>
      <c r="H28" s="3">
        <v>793449</v>
      </c>
    </row>
    <row r="29" spans="1:8">
      <c r="A29" t="s">
        <v>32</v>
      </c>
      <c r="B29" s="3">
        <v>6237049</v>
      </c>
      <c r="C29" s="3">
        <v>6620686</v>
      </c>
      <c r="D29" s="3">
        <v>8504377</v>
      </c>
      <c r="E29" s="3">
        <v>12136803</v>
      </c>
      <c r="F29" s="3">
        <v>21877548</v>
      </c>
      <c r="G29" s="3">
        <v>30936753</v>
      </c>
      <c r="H29" s="3">
        <v>13510558</v>
      </c>
    </row>
    <row r="30" spans="1:8">
      <c r="A30" t="s">
        <v>33</v>
      </c>
      <c r="B30" s="3">
        <v>-3212115</v>
      </c>
      <c r="C30" s="3">
        <v>-2587268</v>
      </c>
      <c r="D30" s="3">
        <v>-539054</v>
      </c>
      <c r="E30" s="3">
        <v>1156179</v>
      </c>
      <c r="F30" s="3">
        <v>3025618</v>
      </c>
      <c r="G30" s="3">
        <v>3538061</v>
      </c>
      <c r="H30" s="3">
        <v>1776554</v>
      </c>
    </row>
    <row r="31" spans="1:8">
      <c r="A31" t="s">
        <v>34</v>
      </c>
      <c r="B31" s="3">
        <v>-3160507</v>
      </c>
      <c r="C31" s="3">
        <v>-5602990</v>
      </c>
      <c r="D31" s="3">
        <v>686270</v>
      </c>
      <c r="E31" s="3">
        <v>488246</v>
      </c>
      <c r="F31" s="3">
        <v>2847933</v>
      </c>
      <c r="G31" s="3">
        <v>2931703</v>
      </c>
      <c r="H31" s="3">
        <v>1278324</v>
      </c>
    </row>
    <row r="33" spans="1:7">
      <c r="A33" t="s">
        <v>35</v>
      </c>
      <c r="D33">
        <v>113</v>
      </c>
      <c r="E33">
        <v>108</v>
      </c>
      <c r="F33" t="s">
        <v>36</v>
      </c>
      <c r="G33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8"/>
  <sheetViews>
    <sheetView zoomScale="83" zoomScaleNormal="83" workbookViewId="0">
      <selection activeCell="H4" sqref="A1:AD8"/>
    </sheetView>
  </sheetViews>
  <sheetFormatPr defaultColWidth="9.23076923076923" defaultRowHeight="16.8" outlineLevelRow="7"/>
  <cols>
    <col min="2" max="2" width="23.0673076923077" customWidth="1"/>
    <col min="3" max="3" width="19.3846153846154" customWidth="1"/>
    <col min="4" max="4" width="10.7307692307692" customWidth="1"/>
    <col min="5" max="5" width="26.2596153846154" customWidth="1"/>
    <col min="7" max="7" width="22.9711538461538" customWidth="1"/>
    <col min="8" max="8" width="26.8269230769231" customWidth="1"/>
    <col min="10" max="10" width="31.6634615384615" customWidth="1"/>
    <col min="11" max="14" width="26.8269230769231" customWidth="1"/>
    <col min="17" max="17" width="11.5769230769231" customWidth="1"/>
    <col min="18" max="18" width="13.125" customWidth="1"/>
    <col min="19" max="19" width="12.7307692307692" customWidth="1"/>
    <col min="20" max="21" width="25.2884615384615" customWidth="1"/>
    <col min="22" max="22" width="11.9711538461538" customWidth="1"/>
    <col min="23" max="23" width="48.4519230769231" customWidth="1"/>
    <col min="24" max="24" width="27.0288461538462" customWidth="1"/>
    <col min="25" max="25" width="20.8365384615385" customWidth="1"/>
    <col min="26" max="26" width="25.6730769230769" customWidth="1"/>
    <col min="27" max="27" width="36.8653846153846" customWidth="1"/>
    <col min="28" max="28" width="37.6442307692308" customWidth="1"/>
    <col min="29" max="29" width="47.2884615384615" customWidth="1"/>
    <col min="30" max="30" width="46.1442307692308" customWidth="1"/>
  </cols>
  <sheetData>
    <row r="1" ht="17" spans="1:30">
      <c r="A1" t="s">
        <v>0</v>
      </c>
      <c r="B1" t="s">
        <v>38</v>
      </c>
      <c r="C1" t="s">
        <v>3</v>
      </c>
      <c r="D1" t="s">
        <v>4</v>
      </c>
      <c r="E1" t="s">
        <v>39</v>
      </c>
      <c r="F1" t="s">
        <v>6</v>
      </c>
      <c r="G1" t="s">
        <v>9</v>
      </c>
      <c r="H1" t="s">
        <v>10</v>
      </c>
      <c r="I1" t="s">
        <v>4</v>
      </c>
      <c r="J1" t="s">
        <v>12</v>
      </c>
      <c r="K1" t="s">
        <v>14</v>
      </c>
      <c r="L1" t="s">
        <v>4</v>
      </c>
      <c r="M1" t="s">
        <v>16</v>
      </c>
      <c r="N1" t="s">
        <v>17</v>
      </c>
      <c r="O1" t="s">
        <v>4</v>
      </c>
      <c r="P1" t="s">
        <v>19</v>
      </c>
      <c r="Q1" t="s">
        <v>4</v>
      </c>
      <c r="R1" t="s">
        <v>21</v>
      </c>
      <c r="S1" t="s">
        <v>22</v>
      </c>
      <c r="T1" t="s">
        <v>23</v>
      </c>
      <c r="U1" t="s">
        <v>24</v>
      </c>
      <c r="V1" t="s">
        <v>4</v>
      </c>
      <c r="W1" s="1" t="s">
        <v>40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ht="68" spans="1:30">
      <c r="A2" s="2" t="s">
        <v>1</v>
      </c>
    </row>
    <row r="3" spans="1:30">
      <c r="A3">
        <v>2024</v>
      </c>
      <c r="B3">
        <v>344.748</v>
      </c>
      <c r="C3">
        <v>47.239</v>
      </c>
      <c r="D3">
        <v>38.4</v>
      </c>
      <c r="E3">
        <v>35.381</v>
      </c>
      <c r="F3">
        <v>16.9</v>
      </c>
      <c r="G3">
        <v>10.3</v>
      </c>
      <c r="H3">
        <v>255.917</v>
      </c>
      <c r="I3">
        <v>43.1</v>
      </c>
      <c r="J3">
        <v>-16.7</v>
      </c>
      <c r="K3">
        <v>48.364</v>
      </c>
      <c r="L3">
        <v>21.7</v>
      </c>
      <c r="M3">
        <v>18.9</v>
      </c>
      <c r="N3">
        <v>77.453</v>
      </c>
      <c r="O3">
        <v>24.4</v>
      </c>
      <c r="P3">
        <v>22340</v>
      </c>
      <c r="Q3">
        <v>37.5</v>
      </c>
      <c r="R3">
        <v>14591</v>
      </c>
      <c r="S3">
        <v>7749</v>
      </c>
      <c r="T3">
        <v>6092</v>
      </c>
      <c r="U3">
        <v>7180</v>
      </c>
      <c r="V3">
        <v>48.5</v>
      </c>
      <c r="W3" s="3">
        <v>14115299</v>
      </c>
      <c r="X3" s="3">
        <v>8540683</v>
      </c>
      <c r="Y3" s="3">
        <v>2821069</v>
      </c>
      <c r="Z3" s="3">
        <v>2821069</v>
      </c>
      <c r="AA3" t="s">
        <v>41</v>
      </c>
      <c r="AB3" s="3">
        <v>30936753</v>
      </c>
      <c r="AC3" s="3">
        <v>3538061</v>
      </c>
      <c r="AD3" s="3">
        <v>2931703</v>
      </c>
    </row>
    <row r="4" spans="1:30">
      <c r="A4">
        <v>2023</v>
      </c>
      <c r="B4">
        <v>249.032</v>
      </c>
      <c r="C4">
        <v>35.075</v>
      </c>
      <c r="D4">
        <v>87.3</v>
      </c>
      <c r="E4">
        <v>30.256</v>
      </c>
      <c r="F4">
        <v>12.1</v>
      </c>
      <c r="G4">
        <v>12.1</v>
      </c>
      <c r="H4">
        <v>178.801</v>
      </c>
      <c r="I4">
        <v>82.7</v>
      </c>
      <c r="J4">
        <v>21</v>
      </c>
      <c r="K4">
        <v>39.749</v>
      </c>
      <c r="M4">
        <v>22.2</v>
      </c>
      <c r="P4">
        <v>16248</v>
      </c>
      <c r="R4">
        <v>10628</v>
      </c>
      <c r="S4">
        <v>5620</v>
      </c>
      <c r="T4">
        <v>8034</v>
      </c>
      <c r="U4">
        <v>4840</v>
      </c>
      <c r="V4">
        <v>82.7</v>
      </c>
      <c r="W4" s="3">
        <v>10892214</v>
      </c>
      <c r="X4" s="3">
        <v>5167482</v>
      </c>
      <c r="Y4" s="3">
        <v>2010699</v>
      </c>
      <c r="Z4" s="3">
        <v>2010699</v>
      </c>
      <c r="AA4" s="3">
        <v>1829651</v>
      </c>
      <c r="AB4" s="3">
        <v>21877548</v>
      </c>
      <c r="AC4" s="3">
        <v>3025618</v>
      </c>
      <c r="AD4" s="3">
        <v>2847933</v>
      </c>
    </row>
    <row r="5" spans="1:30">
      <c r="A5">
        <v>2022</v>
      </c>
      <c r="B5" s="2">
        <v>132.93</v>
      </c>
      <c r="C5">
        <v>19.273</v>
      </c>
      <c r="D5" s="4">
        <v>66.9</v>
      </c>
      <c r="E5">
        <v>11.56</v>
      </c>
      <c r="H5">
        <v>97.862</v>
      </c>
      <c r="J5">
        <v>20.6</v>
      </c>
      <c r="K5">
        <v>23.76</v>
      </c>
      <c r="M5">
        <v>24.3</v>
      </c>
      <c r="N5">
        <v>62.258</v>
      </c>
      <c r="O5">
        <v>102.8</v>
      </c>
      <c r="P5">
        <v>8214</v>
      </c>
      <c r="R5">
        <v>5652</v>
      </c>
      <c r="S5">
        <v>6310</v>
      </c>
      <c r="U5">
        <v>2160</v>
      </c>
    </row>
    <row r="6" spans="1:30">
      <c r="A6">
        <v>2021</v>
      </c>
      <c r="N6">
        <v>30.693</v>
      </c>
    </row>
    <row r="7" spans="1:30">
      <c r="A7">
        <v>2020</v>
      </c>
    </row>
    <row r="8" spans="1:30">
      <c r="A8">
        <v>2019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1" sqref="D21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总表</vt:lpstr>
      <vt:lpstr>总表 (2)</vt:lpstr>
      <vt:lpstr>年净收入</vt:lpstr>
      <vt:lpstr>门店数量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</dc:creator>
  <cp:lastModifiedBy>罗友平</cp:lastModifiedBy>
  <dcterms:created xsi:type="dcterms:W3CDTF">2025-12-01T16:39:00Z</dcterms:created>
  <dcterms:modified xsi:type="dcterms:W3CDTF">2025-12-02T14:52:52Z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18CC579350F45D674D732C69729B6B2C_41</vt:lpwstr>
  </property>
  <property fmtid="{D5CDD505-2E9C-101B-9397-08002B2CF9AE}" pid="3" name="KSOProductBuildVer">
    <vt:lpwstr>2052-12.1.23540.23540</vt:lpwstr>
  </property>
</Properties>
</file>